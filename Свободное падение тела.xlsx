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Пользователь\OneDrive\Рабочий стол\"/>
    </mc:Choice>
  </mc:AlternateContent>
  <bookViews>
    <workbookView xWindow="0" yWindow="0" windowWidth="28800" windowHeight="12300" activeTab="1"/>
  </bookViews>
  <sheets>
    <sheet name="Лист1" sheetId="1" r:id="rId1"/>
    <sheet name="Лист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2" l="1"/>
  <c r="I18" i="2"/>
  <c r="H17" i="2"/>
  <c r="J18" i="2"/>
  <c r="H18" i="2"/>
  <c r="J19" i="2"/>
  <c r="G18" i="2"/>
  <c r="H19" i="2"/>
  <c r="J20" i="2"/>
  <c r="G19" i="2"/>
  <c r="H20" i="2"/>
  <c r="J21" i="2"/>
  <c r="G20" i="2"/>
  <c r="H21" i="2"/>
  <c r="J22" i="2"/>
  <c r="G21" i="2"/>
  <c r="H22" i="2"/>
  <c r="J23" i="2"/>
  <c r="G22" i="2"/>
  <c r="H23" i="2"/>
  <c r="J24" i="2"/>
  <c r="G23" i="2"/>
  <c r="H24" i="2"/>
  <c r="J25" i="2"/>
  <c r="G24" i="2"/>
  <c r="H25" i="2"/>
  <c r="J26" i="2"/>
  <c r="G25" i="2"/>
  <c r="H26" i="2"/>
  <c r="J27" i="2"/>
  <c r="G26" i="2"/>
  <c r="H27" i="2"/>
  <c r="J28" i="2"/>
  <c r="G27" i="2"/>
  <c r="H28" i="2"/>
  <c r="J29" i="2"/>
  <c r="G28" i="2"/>
  <c r="H29" i="2"/>
  <c r="J30" i="2"/>
  <c r="G29" i="2"/>
  <c r="H30" i="2"/>
  <c r="J31" i="2"/>
  <c r="G30" i="2"/>
  <c r="H31" i="2"/>
  <c r="J32" i="2"/>
  <c r="G31" i="2"/>
  <c r="H32" i="2"/>
  <c r="J33" i="2"/>
  <c r="G32" i="2"/>
  <c r="H33" i="2"/>
  <c r="J34" i="2"/>
  <c r="G33" i="2"/>
  <c r="H34" i="2"/>
  <c r="J35" i="2"/>
  <c r="G34" i="2"/>
  <c r="H35" i="2"/>
  <c r="J36" i="2"/>
  <c r="G35" i="2"/>
  <c r="H36" i="2"/>
  <c r="J37" i="2"/>
  <c r="G36" i="2"/>
  <c r="H37" i="2"/>
  <c r="J3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G37" i="2"/>
  <c r="I37" i="2"/>
  <c r="G38" i="2"/>
  <c r="I38" i="2"/>
  <c r="D17" i="2"/>
  <c r="C17" i="2"/>
  <c r="F38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17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18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H20" i="1"/>
  <c r="G20" i="1"/>
  <c r="H21" i="1"/>
  <c r="G21" i="1"/>
  <c r="H22" i="1"/>
  <c r="G22" i="1"/>
  <c r="H23" i="1"/>
  <c r="G23" i="1"/>
  <c r="H24" i="1"/>
  <c r="G24" i="1"/>
  <c r="H25" i="1"/>
  <c r="G25" i="1"/>
  <c r="H26" i="1"/>
  <c r="G26" i="1"/>
  <c r="H27" i="1"/>
  <c r="G27" i="1"/>
  <c r="H28" i="1"/>
  <c r="G28" i="1"/>
  <c r="H29" i="1"/>
  <c r="G29" i="1"/>
  <c r="H30" i="1"/>
  <c r="G30" i="1"/>
  <c r="H31" i="1"/>
  <c r="G31" i="1"/>
  <c r="H32" i="1"/>
  <c r="G32" i="1"/>
  <c r="H33" i="1"/>
  <c r="G33" i="1"/>
  <c r="H34" i="1"/>
  <c r="G34" i="1"/>
  <c r="H35" i="1"/>
  <c r="G35" i="1"/>
  <c r="H36" i="1"/>
  <c r="G36" i="1"/>
  <c r="H37" i="1"/>
  <c r="G37" i="1"/>
  <c r="H38" i="1"/>
  <c r="G38" i="1"/>
  <c r="H39" i="1"/>
  <c r="G39" i="1"/>
  <c r="H40" i="1"/>
  <c r="G40" i="1"/>
  <c r="H41" i="1"/>
  <c r="G41" i="1"/>
  <c r="H42" i="1"/>
  <c r="F20" i="1"/>
  <c r="G42" i="1"/>
  <c r="E20" i="1"/>
  <c r="F21" i="1"/>
  <c r="E21" i="1"/>
  <c r="F22" i="1"/>
  <c r="E22" i="1"/>
  <c r="F23" i="1"/>
  <c r="E23" i="1"/>
  <c r="F24" i="1"/>
  <c r="E24" i="1"/>
  <c r="F25" i="1"/>
  <c r="E25" i="1"/>
  <c r="F26" i="1"/>
  <c r="E26" i="1"/>
  <c r="F27" i="1"/>
  <c r="E27" i="1"/>
  <c r="F28" i="1"/>
  <c r="E28" i="1"/>
  <c r="F29" i="1"/>
  <c r="E29" i="1"/>
  <c r="F30" i="1"/>
  <c r="E30" i="1"/>
  <c r="F31" i="1"/>
  <c r="E31" i="1"/>
  <c r="F32" i="1"/>
  <c r="E32" i="1"/>
  <c r="F33" i="1"/>
  <c r="E33" i="1"/>
  <c r="F34" i="1"/>
  <c r="E34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19" i="1"/>
  <c r="C19" i="1"/>
  <c r="C34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0" i="1"/>
  <c r="H38" i="2"/>
</calcChain>
</file>

<file path=xl/sharedStrings.xml><?xml version="1.0" encoding="utf-8"?>
<sst xmlns="http://schemas.openxmlformats.org/spreadsheetml/2006/main" count="91" uniqueCount="56">
  <si>
    <t>Параметры модели(константы)</t>
  </si>
  <si>
    <t xml:space="preserve">Плотность воздуха: </t>
  </si>
  <si>
    <t xml:space="preserve">Плотность шара: </t>
  </si>
  <si>
    <t xml:space="preserve">Вязкость воздуха: </t>
  </si>
  <si>
    <t xml:space="preserve">Плотность воды: </t>
  </si>
  <si>
    <t xml:space="preserve">Вязкость воды: </t>
  </si>
  <si>
    <t>кг/м</t>
  </si>
  <si>
    <t>кг/v</t>
  </si>
  <si>
    <t>н</t>
  </si>
  <si>
    <t>Начальная скорость: V0=</t>
  </si>
  <si>
    <t>Радиус шара: r=</t>
  </si>
  <si>
    <t>Ускорение св. Падения: g=</t>
  </si>
  <si>
    <t>м</t>
  </si>
  <si>
    <t>м/с</t>
  </si>
  <si>
    <t>м/c</t>
  </si>
  <si>
    <t>Вычисляемые парметры модели:</t>
  </si>
  <si>
    <t>Коэффициент вязкого трения воздуха:</t>
  </si>
  <si>
    <t>Коэффициент лобового сопративления воздуха:</t>
  </si>
  <si>
    <t>Коэффициент вязкого трения воды:</t>
  </si>
  <si>
    <t>Коэффициент лобового сопративления воды:</t>
  </si>
  <si>
    <t>m=</t>
  </si>
  <si>
    <t>кг</t>
  </si>
  <si>
    <t>K1=</t>
  </si>
  <si>
    <t>K2=</t>
  </si>
  <si>
    <t>Шаг по времени: t=</t>
  </si>
  <si>
    <t>с</t>
  </si>
  <si>
    <t>В пустоте</t>
  </si>
  <si>
    <t>В воздухе</t>
  </si>
  <si>
    <t>В воде</t>
  </si>
  <si>
    <t>i</t>
  </si>
  <si>
    <t>ti</t>
  </si>
  <si>
    <t>vi</t>
  </si>
  <si>
    <t>yi</t>
  </si>
  <si>
    <t>Масса шара:</t>
  </si>
  <si>
    <r>
      <t>Начальная высота: H=</t>
    </r>
    <r>
      <rPr>
        <sz val="11"/>
        <color theme="1"/>
        <rFont val="Calibri"/>
        <family val="2"/>
        <charset val="204"/>
      </rPr>
      <t>∙</t>
    </r>
  </si>
  <si>
    <t>н∙c/м</t>
  </si>
  <si>
    <t xml:space="preserve">Плотность снаряда: </t>
  </si>
  <si>
    <t>жел</t>
  </si>
  <si>
    <t>воз</t>
  </si>
  <si>
    <t>Радиус снаряда</t>
  </si>
  <si>
    <t>Ускорение св. Пад.:</t>
  </si>
  <si>
    <t>r =</t>
  </si>
  <si>
    <t>g =</t>
  </si>
  <si>
    <t>м(c*c)</t>
  </si>
  <si>
    <t>Вычисляемые параметры модели:</t>
  </si>
  <si>
    <t>Шаг по времени: t =</t>
  </si>
  <si>
    <t>Начальная скорость</t>
  </si>
  <si>
    <t>V0=</t>
  </si>
  <si>
    <t>М/С</t>
  </si>
  <si>
    <t>Начальный угол</t>
  </si>
  <si>
    <t>a0 =</t>
  </si>
  <si>
    <t>град</t>
  </si>
  <si>
    <t>Vx</t>
  </si>
  <si>
    <t>Vy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</si>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</sst>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88401137357830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Лист1!$F$19:$F$34</c:f>
              <c:numCache>
                <c:formatCode>0.000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9.9019999999999992</c:v>
                </c:pt>
                <c:pt idx="3">
                  <c:v>9.7059636045180415</c:v>
                </c:pt>
                <c:pt idx="4">
                  <c:v>9.4118639384492706</c:v>
                </c:pt>
                <c:pt idx="5">
                  <c:v>9.0196836589066631</c:v>
                </c:pt>
                <c:pt idx="6">
                  <c:v>8.5294149633597964</c:v>
                </c:pt>
                <c:pt idx="7">
                  <c:v>7.9410595940640558</c:v>
                </c:pt>
                <c:pt idx="8">
                  <c:v>7.2546288387757301</c:v>
                </c:pt>
                <c:pt idx="9">
                  <c:v>6.4701435277515307</c:v>
                </c:pt>
                <c:pt idx="10">
                  <c:v>5.5876340270341354</c:v>
                </c:pt>
                <c:pt idx="11">
                  <c:v>4.6071402280284204</c:v>
                </c:pt>
                <c:pt idx="12">
                  <c:v>3.5287115333761272</c:v>
                </c:pt>
                <c:pt idx="13">
                  <c:v>2.3524068391397543</c:v>
                </c:pt>
                <c:pt idx="14">
                  <c:v>1.0782945133095101</c:v>
                </c:pt>
                <c:pt idx="15">
                  <c:v>-0.29354762934981449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C-4548-B3FE-D12BAFDB87D0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Лист1!$H$19:$H$42</c:f>
              <c:numCache>
                <c:formatCode>0.000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9.9019999999999992</c:v>
                </c:pt>
                <c:pt idx="3">
                  <c:v>9.7074277834082174</c:v>
                </c:pt>
                <c:pt idx="4">
                  <c:v>9.4249173582533796</c:v>
                </c:pt>
                <c:pt idx="5">
                  <c:v>9.0685713944091653</c:v>
                </c:pt>
                <c:pt idx="6">
                  <c:v>8.6548250098620851</c:v>
                </c:pt>
                <c:pt idx="7">
                  <c:v>8.1993523222537874</c:v>
                </c:pt>
                <c:pt idx="8">
                  <c:v>7.7151382195085683</c:v>
                </c:pt>
                <c:pt idx="9">
                  <c:v>7.2119057750773399</c:v>
                </c:pt>
                <c:pt idx="10">
                  <c:v>6.6964381469842769</c:v>
                </c:pt>
                <c:pt idx="11">
                  <c:v>6.1732462589781285</c:v>
                </c:pt>
                <c:pt idx="12">
                  <c:v>5.6452372235968022</c:v>
                </c:pt>
                <c:pt idx="13">
                  <c:v>5.1142472647882542</c:v>
                </c:pt>
                <c:pt idx="14">
                  <c:v>4.5814216061750628</c:v>
                </c:pt>
                <c:pt idx="15">
                  <c:v>4.0474688953019911</c:v>
                </c:pt>
                <c:pt idx="16">
                  <c:v>3.5128255000333555</c:v>
                </c:pt>
                <c:pt idx="17">
                  <c:v>2.9777593198391683</c:v>
                </c:pt>
                <c:pt idx="18">
                  <c:v>2.4424345236424001</c:v>
                </c:pt>
                <c:pt idx="19">
                  <c:v>1.9069516007540219</c:v>
                </c:pt>
                <c:pt idx="20">
                  <c:v>1.3713720191298568</c:v>
                </c:pt>
                <c:pt idx="21">
                  <c:v>0.83573336200533999</c:v>
                </c:pt>
                <c:pt idx="22">
                  <c:v>0.300058602890793</c:v>
                </c:pt>
                <c:pt idx="23">
                  <c:v>-0.23563821740992508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C-4548-B3FE-D12BAFDB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009632"/>
        <c:axId val="221008848"/>
      </c:lineChart>
      <c:catAx>
        <c:axId val="22100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1008848"/>
        <c:crosses val="autoZero"/>
        <c:auto val="1"/>
        <c:lblAlgn val="ctr"/>
        <c:lblOffset val="100"/>
        <c:noMultiLvlLbl val="0"/>
      </c:catAx>
      <c:valAx>
        <c:axId val="22100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100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Лист1!$E$19:$E$34</c:f>
              <c:numCache>
                <c:formatCode>0.000</c:formatCode>
                <c:ptCount val="16"/>
                <c:pt idx="0">
                  <c:v>0</c:v>
                </c:pt>
                <c:pt idx="1">
                  <c:v>-0.98</c:v>
                </c:pt>
                <c:pt idx="2">
                  <c:v>-1.9603639548195795</c:v>
                </c:pt>
                <c:pt idx="3">
                  <c:v>-2.9409966606877109</c:v>
                </c:pt>
                <c:pt idx="4">
                  <c:v>-3.9218027954260752</c:v>
                </c:pt>
                <c:pt idx="5">
                  <c:v>-4.9026869554686598</c:v>
                </c:pt>
                <c:pt idx="6">
                  <c:v>-5.8835536929574035</c:v>
                </c:pt>
                <c:pt idx="7">
                  <c:v>-6.8643075528832611</c:v>
                </c:pt>
                <c:pt idx="8">
                  <c:v>-7.8448531102419929</c:v>
                </c:pt>
                <c:pt idx="9">
                  <c:v>-8.8250950071739531</c:v>
                </c:pt>
                <c:pt idx="10">
                  <c:v>-9.8049379900571498</c:v>
                </c:pt>
                <c:pt idx="11">
                  <c:v>-10.784286946522931</c:v>
                </c:pt>
                <c:pt idx="12">
                  <c:v>-11.763046942363728</c:v>
                </c:pt>
                <c:pt idx="13">
                  <c:v>-12.741123258302443</c:v>
                </c:pt>
                <c:pt idx="14">
                  <c:v>-13.718421426593245</c:v>
                </c:pt>
                <c:pt idx="15">
                  <c:v>-14.694847267423784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2-3347-BFC8-033D8EFC3CDC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Лист1!$G$19:$G$42</c:f>
              <c:numCache>
                <c:formatCode>0.000</c:formatCode>
                <c:ptCount val="24"/>
                <c:pt idx="0">
                  <c:v>0</c:v>
                </c:pt>
                <c:pt idx="1">
                  <c:v>-0.98</c:v>
                </c:pt>
                <c:pt idx="2">
                  <c:v>-1.9457221659178221</c:v>
                </c:pt>
                <c:pt idx="3">
                  <c:v>-2.8251042515483844</c:v>
                </c:pt>
                <c:pt idx="4">
                  <c:v>-3.5634596384421475</c:v>
                </c:pt>
                <c:pt idx="5">
                  <c:v>-4.137463845470795</c:v>
                </c:pt>
                <c:pt idx="6">
                  <c:v>-4.5547268760829818</c:v>
                </c:pt>
                <c:pt idx="7">
                  <c:v>-4.8421410274521941</c:v>
                </c:pt>
                <c:pt idx="8">
                  <c:v>-5.0323244443122812</c:v>
                </c:pt>
                <c:pt idx="9">
                  <c:v>-5.1546762809306328</c:v>
                </c:pt>
                <c:pt idx="10">
                  <c:v>-5.2319188800614818</c:v>
                </c:pt>
                <c:pt idx="11">
                  <c:v>-5.2800903538132635</c:v>
                </c:pt>
                <c:pt idx="12">
                  <c:v>-5.309899588085476</c:v>
                </c:pt>
                <c:pt idx="13">
                  <c:v>-5.3282565861319169</c:v>
                </c:pt>
                <c:pt idx="14">
                  <c:v>-5.3395271087307181</c:v>
                </c:pt>
                <c:pt idx="15">
                  <c:v>-5.3464339526863576</c:v>
                </c:pt>
                <c:pt idx="16">
                  <c:v>-5.3506618019418699</c:v>
                </c:pt>
                <c:pt idx="17">
                  <c:v>-5.353247961967682</c:v>
                </c:pt>
                <c:pt idx="18">
                  <c:v>-5.3548292288837809</c:v>
                </c:pt>
                <c:pt idx="19">
                  <c:v>-5.3557958162416517</c:v>
                </c:pt>
                <c:pt idx="20">
                  <c:v>-5.3563865712451681</c:v>
                </c:pt>
                <c:pt idx="21">
                  <c:v>-5.3567475911454698</c:v>
                </c:pt>
                <c:pt idx="22">
                  <c:v>-5.3569682030071801</c:v>
                </c:pt>
                <c:pt idx="23">
                  <c:v>-5.3571030094590846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2-3347-BFC8-033D8EFC3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102560"/>
        <c:axId val="221008064"/>
      </c:lineChart>
      <c:catAx>
        <c:axId val="222102560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1008064"/>
        <c:crosses val="autoZero"/>
        <c:auto val="1"/>
        <c:lblAlgn val="ctr"/>
        <c:lblOffset val="100"/>
        <c:noMultiLvlLbl val="0"/>
      </c:catAx>
      <c:valAx>
        <c:axId val="22100806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21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Лист2!$F$17:$F$38</c:f>
              <c:numCache>
                <c:formatCode>0.00</c:formatCode>
                <c:ptCount val="22"/>
                <c:pt idx="0">
                  <c:v>0</c:v>
                </c:pt>
                <c:pt idx="1">
                  <c:v>95.09999999999998</c:v>
                </c:pt>
                <c:pt idx="2">
                  <c:v>180.39999999999998</c:v>
                </c:pt>
                <c:pt idx="3">
                  <c:v>255.89999999999995</c:v>
                </c:pt>
                <c:pt idx="4">
                  <c:v>321.59999999999991</c:v>
                </c:pt>
                <c:pt idx="5">
                  <c:v>377.49999999999994</c:v>
                </c:pt>
                <c:pt idx="6">
                  <c:v>423.59999999999991</c:v>
                </c:pt>
                <c:pt idx="7">
                  <c:v>459.89999999999986</c:v>
                </c:pt>
                <c:pt idx="8">
                  <c:v>486.39999999999986</c:v>
                </c:pt>
                <c:pt idx="9">
                  <c:v>503.09999999999985</c:v>
                </c:pt>
                <c:pt idx="10">
                  <c:v>509.99999999999983</c:v>
                </c:pt>
                <c:pt idx="11">
                  <c:v>507.09999999999968</c:v>
                </c:pt>
                <c:pt idx="12">
                  <c:v>494.39999999999975</c:v>
                </c:pt>
                <c:pt idx="13">
                  <c:v>471.89999999999975</c:v>
                </c:pt>
                <c:pt idx="14">
                  <c:v>439.59999999999968</c:v>
                </c:pt>
                <c:pt idx="15">
                  <c:v>397.49999999999977</c:v>
                </c:pt>
                <c:pt idx="16">
                  <c:v>345.59999999999968</c:v>
                </c:pt>
                <c:pt idx="17">
                  <c:v>283.89999999999964</c:v>
                </c:pt>
                <c:pt idx="18">
                  <c:v>212.39999999999964</c:v>
                </c:pt>
                <c:pt idx="19">
                  <c:v>131.09999999999968</c:v>
                </c:pt>
                <c:pt idx="20">
                  <c:v>39.999999999999545</c:v>
                </c:pt>
                <c:pt idx="21">
                  <c:v>-60.900000000000546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0-FC40-B829-370901DD76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Лист2!$J$17:$J$38</c:f>
              <c:numCache>
                <c:formatCode>General</c:formatCode>
                <c:ptCount val="22"/>
                <c:pt idx="0">
                  <c:v>0</c:v>
                </c:pt>
                <c:pt idx="1">
                  <c:v>99.999999999999986</c:v>
                </c:pt>
                <c:pt idx="2">
                  <c:v>185.13365074545732</c:v>
                </c:pt>
                <c:pt idx="3">
                  <c:v>256.46749743583985</c:v>
                </c:pt>
                <c:pt idx="4">
                  <c:v>314.87967155665643</c:v>
                </c:pt>
                <c:pt idx="5">
                  <c:v>361.10006968106939</c:v>
                </c:pt>
                <c:pt idx="6">
                  <c:v>395.74105064446144</c:v>
                </c:pt>
                <c:pt idx="7">
                  <c:v>419.32150357148794</c:v>
                </c:pt>
                <c:pt idx="8">
                  <c:v>432.28620809969959</c:v>
                </c:pt>
                <c:pt idx="9">
                  <c:v>435.02178852760909</c:v>
                </c:pt>
                <c:pt idx="10">
                  <c:v>427.87013227550278</c:v>
                </c:pt>
                <c:pt idx="11">
                  <c:v>411.13983139362836</c:v>
                </c:pt>
                <c:pt idx="12">
                  <c:v>385.11597848331314</c:v>
                </c:pt>
                <c:pt idx="13">
                  <c:v>350.06848957309182</c:v>
                </c:pt>
                <c:pt idx="14">
                  <c:v>306.25902948160251</c:v>
                </c:pt>
                <c:pt idx="15">
                  <c:v>253.94657358626745</c:v>
                </c:pt>
                <c:pt idx="16">
                  <c:v>193.39164243611194</c:v>
                </c:pt>
                <c:pt idx="17">
                  <c:v>124.85927593039999</c:v>
                </c:pt>
                <c:pt idx="18">
                  <c:v>48.620854095285836</c:v>
                </c:pt>
                <c:pt idx="19">
                  <c:v>-35.045092577489498</c:v>
                </c:pt>
                <c:pt idx="20">
                  <c:v>-125.85291700627776</c:v>
                </c:pt>
                <c:pt idx="21">
                  <c:v>-223.51055903244679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0-FC40-B829-370901DD7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175824"/>
        <c:axId val="265177000"/>
      </c:lineChart>
      <c:catAx>
        <c:axId val="26517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177000"/>
        <c:crosses val="autoZero"/>
        <c:auto val="1"/>
        <c:lblAlgn val="ctr"/>
        <c:lblOffset val="100"/>
        <c:noMultiLvlLbl val="0"/>
      </c:catAx>
      <c:valAx>
        <c:axId val="26517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17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60551</xdr:colOff>
      <xdr:row>9</xdr:row>
      <xdr:rowOff>41501</xdr:rowOff>
    </xdr:from>
    <xdr:to>
      <xdr:col>17</xdr:col>
      <xdr:colOff>365351</xdr:colOff>
      <xdr:row>23</xdr:row>
      <xdr:rowOff>117701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115660</xdr:colOff>
      <xdr:row>26</xdr:row>
      <xdr:rowOff>159203</xdr:rowOff>
    </xdr:from>
    <xdr:to>
      <xdr:col>17</xdr:col>
      <xdr:colOff>401410</xdr:colOff>
      <xdr:row>41</xdr:row>
      <xdr:rowOff>44903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81643</xdr:colOff>
      <xdr:row>11</xdr:row>
      <xdr:rowOff>87765</xdr:rowOff>
    </xdr:from>
    <xdr:to>
      <xdr:col>21</xdr:col>
      <xdr:colOff>374196</xdr:colOff>
      <xdr:row>24</xdr:row>
      <xdr:rowOff>163965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="70" zoomScaleNormal="70" workbookViewId="0">
      <selection activeCell="D22" sqref="D22"/>
    </sheetView>
  </sheetViews>
  <sheetFormatPr defaultRowHeight="15" x14ac:dyDescent="0.25"/>
  <cols>
    <col min="1" max="1" width="11.5703125" bestFit="1" customWidth="1"/>
  </cols>
  <sheetData>
    <row r="1" spans="1:10" x14ac:dyDescent="0.25">
      <c r="C1" s="6" t="s">
        <v>0</v>
      </c>
      <c r="D1" s="6"/>
      <c r="E1" s="6"/>
      <c r="F1" s="6"/>
      <c r="G1" s="6"/>
      <c r="H1" s="6"/>
    </row>
    <row r="2" spans="1:10" x14ac:dyDescent="0.25">
      <c r="A2" s="7" t="s">
        <v>2</v>
      </c>
      <c r="B2" s="7"/>
      <c r="C2" s="7"/>
      <c r="D2">
        <v>7800</v>
      </c>
      <c r="E2" t="s">
        <v>6</v>
      </c>
      <c r="F2" s="7" t="s">
        <v>34</v>
      </c>
      <c r="G2" s="7"/>
      <c r="H2" s="7"/>
      <c r="I2">
        <v>10</v>
      </c>
      <c r="J2" t="s">
        <v>12</v>
      </c>
    </row>
    <row r="3" spans="1:10" x14ac:dyDescent="0.25">
      <c r="A3" s="7" t="s">
        <v>1</v>
      </c>
      <c r="B3" s="7"/>
      <c r="C3" s="7"/>
      <c r="D3">
        <v>1.29</v>
      </c>
      <c r="E3" t="s">
        <v>6</v>
      </c>
      <c r="F3" s="7" t="s">
        <v>9</v>
      </c>
      <c r="G3" s="7"/>
      <c r="H3" s="7"/>
      <c r="I3">
        <v>0</v>
      </c>
      <c r="J3" t="s">
        <v>13</v>
      </c>
    </row>
    <row r="4" spans="1:10" x14ac:dyDescent="0.25">
      <c r="A4" s="7" t="s">
        <v>3</v>
      </c>
      <c r="B4" s="7"/>
      <c r="C4" s="7"/>
      <c r="D4">
        <v>1.8200000000000001E-2</v>
      </c>
      <c r="E4" t="s">
        <v>35</v>
      </c>
      <c r="F4" s="7" t="s">
        <v>10</v>
      </c>
      <c r="G4" s="7"/>
      <c r="H4" s="7"/>
      <c r="I4">
        <v>0.05</v>
      </c>
      <c r="J4" t="s">
        <v>12</v>
      </c>
    </row>
    <row r="5" spans="1:10" x14ac:dyDescent="0.25">
      <c r="A5" s="7" t="s">
        <v>4</v>
      </c>
      <c r="B5" s="7"/>
      <c r="C5" s="7"/>
      <c r="D5">
        <v>1000</v>
      </c>
      <c r="E5" t="s">
        <v>7</v>
      </c>
      <c r="F5" s="7" t="s">
        <v>11</v>
      </c>
      <c r="G5" s="7"/>
      <c r="H5" s="7"/>
      <c r="I5">
        <v>9.8000000000000007</v>
      </c>
      <c r="J5" t="s">
        <v>14</v>
      </c>
    </row>
    <row r="6" spans="1:10" x14ac:dyDescent="0.25">
      <c r="A6" s="7" t="s">
        <v>5</v>
      </c>
      <c r="B6" s="7"/>
      <c r="C6" s="7"/>
      <c r="D6">
        <v>1.002</v>
      </c>
      <c r="E6" t="s">
        <v>8</v>
      </c>
      <c r="F6" s="8"/>
      <c r="G6" s="8"/>
      <c r="H6" s="8"/>
    </row>
    <row r="8" spans="1:10" x14ac:dyDescent="0.25">
      <c r="C8" s="8" t="s">
        <v>15</v>
      </c>
      <c r="D8" s="8"/>
      <c r="E8" s="8"/>
      <c r="F8" s="8"/>
      <c r="G8" s="8"/>
    </row>
    <row r="9" spans="1:10" x14ac:dyDescent="0.25">
      <c r="A9" s="3" t="s">
        <v>33</v>
      </c>
      <c r="B9" s="3"/>
      <c r="C9" s="3"/>
      <c r="D9" s="3"/>
      <c r="E9" s="3"/>
      <c r="F9" t="s">
        <v>20</v>
      </c>
      <c r="G9">
        <v>4.0840699999999996</v>
      </c>
      <c r="H9" t="s">
        <v>21</v>
      </c>
    </row>
    <row r="10" spans="1:10" x14ac:dyDescent="0.25">
      <c r="A10" s="7" t="s">
        <v>16</v>
      </c>
      <c r="B10" s="7"/>
      <c r="C10" s="7"/>
      <c r="D10" s="7"/>
      <c r="E10" s="7"/>
      <c r="F10" t="s">
        <v>22</v>
      </c>
      <c r="G10">
        <v>1.7153000000000002E-2</v>
      </c>
      <c r="H10" t="s">
        <v>35</v>
      </c>
    </row>
    <row r="11" spans="1:10" x14ac:dyDescent="0.25">
      <c r="A11" s="7" t="s">
        <v>17</v>
      </c>
      <c r="B11" s="7"/>
      <c r="C11" s="7"/>
      <c r="D11" s="7"/>
      <c r="E11" s="7"/>
      <c r="F11" t="s">
        <v>23</v>
      </c>
      <c r="G11">
        <v>2.026E-3</v>
      </c>
      <c r="H11" t="s">
        <v>35</v>
      </c>
    </row>
    <row r="12" spans="1:10" x14ac:dyDescent="0.25">
      <c r="A12" s="7" t="s">
        <v>18</v>
      </c>
      <c r="B12" s="7"/>
      <c r="C12" s="7"/>
      <c r="D12" s="7"/>
      <c r="E12" s="7"/>
      <c r="F12" t="s">
        <v>22</v>
      </c>
      <c r="G12">
        <v>0.94436299999999995</v>
      </c>
      <c r="H12" t="s">
        <v>35</v>
      </c>
    </row>
    <row r="13" spans="1:10" x14ac:dyDescent="0.25">
      <c r="A13" s="7" t="s">
        <v>19</v>
      </c>
      <c r="B13" s="7"/>
      <c r="C13" s="7"/>
      <c r="D13" s="7"/>
      <c r="E13" s="7"/>
      <c r="F13" t="s">
        <v>23</v>
      </c>
      <c r="G13">
        <v>1.5707960000000001</v>
      </c>
      <c r="H13" t="s">
        <v>35</v>
      </c>
    </row>
    <row r="15" spans="1:10" x14ac:dyDescent="0.25">
      <c r="A15" s="8" t="s">
        <v>24</v>
      </c>
      <c r="B15" s="8"/>
      <c r="C15" s="8"/>
      <c r="D15">
        <v>0.1</v>
      </c>
      <c r="E15" t="s">
        <v>25</v>
      </c>
    </row>
    <row r="17" spans="1:8" x14ac:dyDescent="0.25">
      <c r="C17" s="8" t="s">
        <v>26</v>
      </c>
      <c r="D17" s="8"/>
      <c r="E17" s="8" t="s">
        <v>27</v>
      </c>
      <c r="F17" s="8"/>
      <c r="G17" s="8" t="s">
        <v>28</v>
      </c>
      <c r="H17" s="8"/>
    </row>
    <row r="18" spans="1:8" x14ac:dyDescent="0.25">
      <c r="A18" t="s">
        <v>29</v>
      </c>
      <c r="B18" t="s">
        <v>30</v>
      </c>
      <c r="C18" t="s">
        <v>31</v>
      </c>
      <c r="D18" t="s">
        <v>32</v>
      </c>
      <c r="E18" t="s">
        <v>31</v>
      </c>
      <c r="F18" t="s">
        <v>32</v>
      </c>
      <c r="G18" t="s">
        <v>31</v>
      </c>
      <c r="H18" t="s">
        <v>32</v>
      </c>
    </row>
    <row r="19" spans="1:8" x14ac:dyDescent="0.25">
      <c r="A19">
        <v>0</v>
      </c>
      <c r="B19">
        <v>0</v>
      </c>
      <c r="C19" s="2">
        <f>-$I$5*B19</f>
        <v>0</v>
      </c>
      <c r="D19" s="2">
        <f>$I$2 - ($I$5*B19*B19)/2</f>
        <v>10</v>
      </c>
      <c r="E19" s="2">
        <v>0</v>
      </c>
      <c r="F19" s="2">
        <v>10</v>
      </c>
      <c r="G19" s="2">
        <v>0</v>
      </c>
      <c r="H19" s="2">
        <v>10</v>
      </c>
    </row>
    <row r="20" spans="1:8" x14ac:dyDescent="0.25">
      <c r="A20">
        <v>1</v>
      </c>
      <c r="B20">
        <v>0.1</v>
      </c>
      <c r="C20" s="2">
        <f>-$I$5*B20</f>
        <v>-0.98000000000000009</v>
      </c>
      <c r="D20" s="2">
        <f t="shared" ref="D20:D34" si="0">$I$2 - ($I$5*B20*B20)/2</f>
        <v>9.9510000000000005</v>
      </c>
      <c r="E20" s="2">
        <f>E19+($G$10*E19+$G$11*E19^2-$G$9*$I$5)*$D$15/$G$9</f>
        <v>-0.98</v>
      </c>
      <c r="F20" s="2">
        <f xml:space="preserve"> F19+E19*$D$15</f>
        <v>10</v>
      </c>
      <c r="G20" s="2">
        <f>G19+($G$12*G19+$G$13*G19^2-$G$9*$I$5)*$D$15/$G$9</f>
        <v>-0.98</v>
      </c>
      <c r="H20" s="2">
        <f xml:space="preserve"> H19+G19*$D$15</f>
        <v>10</v>
      </c>
    </row>
    <row r="21" spans="1:8" x14ac:dyDescent="0.25">
      <c r="A21">
        <v>2</v>
      </c>
      <c r="B21">
        <v>0.2</v>
      </c>
      <c r="C21" s="2">
        <f t="shared" ref="C21:C33" si="1">-$I$5*B21</f>
        <v>-1.9600000000000002</v>
      </c>
      <c r="D21" s="2">
        <f t="shared" si="0"/>
        <v>9.8040000000000003</v>
      </c>
      <c r="E21" s="2">
        <f t="shared" ref="E21:E34" si="2">E20+($G$10*E20+$G$11*E20^2-$G$9*$I$5)*$D$15/$G$9</f>
        <v>-1.9603639548195795</v>
      </c>
      <c r="F21" s="2">
        <f t="shared" ref="F21:F34" si="3" xml:space="preserve"> F20+E20*$D$15</f>
        <v>9.9019999999999992</v>
      </c>
      <c r="G21" s="2">
        <f>G20+($G$12*G20+$G$13*G20^2-$G$9*$I$5)*$D$15/$G$9</f>
        <v>-1.9457221659178221</v>
      </c>
      <c r="H21" s="2">
        <f t="shared" ref="H21:H42" si="4" xml:space="preserve"> H20+G20*$D$15</f>
        <v>9.9019999999999992</v>
      </c>
    </row>
    <row r="22" spans="1:8" x14ac:dyDescent="0.25">
      <c r="A22">
        <v>3</v>
      </c>
      <c r="B22">
        <v>0.3</v>
      </c>
      <c r="C22" s="2">
        <f t="shared" si="1"/>
        <v>-2.94</v>
      </c>
      <c r="D22" s="2">
        <f t="shared" si="0"/>
        <v>9.5589999999999993</v>
      </c>
      <c r="E22" s="2">
        <f t="shared" si="2"/>
        <v>-2.9409966606877109</v>
      </c>
      <c r="F22" s="2">
        <f t="shared" si="3"/>
        <v>9.7059636045180415</v>
      </c>
      <c r="G22" s="2">
        <f t="shared" ref="G22:G42" si="5">G21+($G$12*G21+$G$13*G21^2-$G$9*$I$5)*$D$15/$G$9</f>
        <v>-2.8251042515483844</v>
      </c>
      <c r="H22" s="2">
        <f t="shared" si="4"/>
        <v>9.7074277834082174</v>
      </c>
    </row>
    <row r="23" spans="1:8" x14ac:dyDescent="0.25">
      <c r="A23">
        <v>4</v>
      </c>
      <c r="B23">
        <v>0.4</v>
      </c>
      <c r="C23" s="2">
        <f t="shared" si="1"/>
        <v>-3.9200000000000004</v>
      </c>
      <c r="D23" s="2">
        <f t="shared" si="0"/>
        <v>9.2159999999999993</v>
      </c>
      <c r="E23" s="2">
        <f t="shared" si="2"/>
        <v>-3.9218027954260752</v>
      </c>
      <c r="F23" s="2">
        <f t="shared" si="3"/>
        <v>9.4118639384492706</v>
      </c>
      <c r="G23" s="2">
        <f t="shared" si="5"/>
        <v>-3.5634596384421475</v>
      </c>
      <c r="H23" s="2">
        <f t="shared" si="4"/>
        <v>9.4249173582533796</v>
      </c>
    </row>
    <row r="24" spans="1:8" x14ac:dyDescent="0.25">
      <c r="A24">
        <v>5</v>
      </c>
      <c r="B24">
        <v>0.5</v>
      </c>
      <c r="C24" s="2">
        <f t="shared" si="1"/>
        <v>-4.9000000000000004</v>
      </c>
      <c r="D24" s="2">
        <f t="shared" si="0"/>
        <v>8.7750000000000004</v>
      </c>
      <c r="E24" s="2">
        <f t="shared" si="2"/>
        <v>-4.9026869554686598</v>
      </c>
      <c r="F24" s="2">
        <f t="shared" si="3"/>
        <v>9.0196836589066631</v>
      </c>
      <c r="G24" s="2">
        <f t="shared" si="5"/>
        <v>-4.137463845470795</v>
      </c>
      <c r="H24" s="2">
        <f t="shared" si="4"/>
        <v>9.0685713944091653</v>
      </c>
    </row>
    <row r="25" spans="1:8" x14ac:dyDescent="0.25">
      <c r="A25">
        <v>6</v>
      </c>
      <c r="B25">
        <v>0.6</v>
      </c>
      <c r="C25" s="2">
        <f t="shared" si="1"/>
        <v>-5.88</v>
      </c>
      <c r="D25" s="2">
        <f t="shared" si="0"/>
        <v>8.2360000000000007</v>
      </c>
      <c r="E25" s="2">
        <f t="shared" si="2"/>
        <v>-5.8835536929574035</v>
      </c>
      <c r="F25" s="2">
        <f t="shared" si="3"/>
        <v>8.5294149633597964</v>
      </c>
      <c r="G25" s="2">
        <f t="shared" si="5"/>
        <v>-4.5547268760829818</v>
      </c>
      <c r="H25" s="2">
        <f t="shared" si="4"/>
        <v>8.6548250098620851</v>
      </c>
    </row>
    <row r="26" spans="1:8" x14ac:dyDescent="0.25">
      <c r="A26">
        <v>7</v>
      </c>
      <c r="B26">
        <v>0.7</v>
      </c>
      <c r="C26" s="2">
        <f t="shared" si="1"/>
        <v>-6.86</v>
      </c>
      <c r="D26" s="2">
        <f t="shared" si="0"/>
        <v>7.5990000000000002</v>
      </c>
      <c r="E26" s="2">
        <f t="shared" si="2"/>
        <v>-6.8643075528832611</v>
      </c>
      <c r="F26" s="2">
        <f t="shared" si="3"/>
        <v>7.9410595940640558</v>
      </c>
      <c r="G26" s="2">
        <f t="shared" si="5"/>
        <v>-4.8421410274521941</v>
      </c>
      <c r="H26" s="2">
        <f t="shared" si="4"/>
        <v>8.1993523222537874</v>
      </c>
    </row>
    <row r="27" spans="1:8" x14ac:dyDescent="0.25">
      <c r="A27">
        <v>8</v>
      </c>
      <c r="B27">
        <v>0.8</v>
      </c>
      <c r="C27" s="2">
        <f t="shared" si="1"/>
        <v>-7.8400000000000007</v>
      </c>
      <c r="D27" s="2">
        <f t="shared" si="0"/>
        <v>6.863999999999999</v>
      </c>
      <c r="E27" s="2">
        <f t="shared" si="2"/>
        <v>-7.8448531102419929</v>
      </c>
      <c r="F27" s="2">
        <f t="shared" si="3"/>
        <v>7.2546288387757301</v>
      </c>
      <c r="G27" s="2">
        <f t="shared" si="5"/>
        <v>-5.0323244443122812</v>
      </c>
      <c r="H27" s="2">
        <f t="shared" si="4"/>
        <v>7.7151382195085683</v>
      </c>
    </row>
    <row r="28" spans="1:8" x14ac:dyDescent="0.25">
      <c r="A28">
        <v>9</v>
      </c>
      <c r="B28">
        <v>0.9</v>
      </c>
      <c r="C28" s="2">
        <f t="shared" si="1"/>
        <v>-8.82</v>
      </c>
      <c r="D28" s="2">
        <f t="shared" si="0"/>
        <v>6.0309999999999997</v>
      </c>
      <c r="E28" s="2">
        <f t="shared" si="2"/>
        <v>-8.8250950071739531</v>
      </c>
      <c r="F28" s="2">
        <f t="shared" si="3"/>
        <v>6.4701435277515307</v>
      </c>
      <c r="G28" s="2">
        <f t="shared" si="5"/>
        <v>-5.1546762809306328</v>
      </c>
      <c r="H28" s="2">
        <f t="shared" si="4"/>
        <v>7.2119057750773399</v>
      </c>
    </row>
    <row r="29" spans="1:8" x14ac:dyDescent="0.25">
      <c r="A29">
        <v>10</v>
      </c>
      <c r="B29">
        <v>1</v>
      </c>
      <c r="C29" s="2">
        <f t="shared" si="1"/>
        <v>-9.8000000000000007</v>
      </c>
      <c r="D29" s="2">
        <f t="shared" si="0"/>
        <v>5.0999999999999996</v>
      </c>
      <c r="E29" s="2">
        <f t="shared" si="2"/>
        <v>-9.8049379900571498</v>
      </c>
      <c r="F29" s="2">
        <f t="shared" si="3"/>
        <v>5.5876340270341354</v>
      </c>
      <c r="G29" s="2">
        <f t="shared" si="5"/>
        <v>-5.2319188800614818</v>
      </c>
      <c r="H29" s="2">
        <f t="shared" si="4"/>
        <v>6.6964381469842769</v>
      </c>
    </row>
    <row r="30" spans="1:8" x14ac:dyDescent="0.25">
      <c r="A30">
        <v>11</v>
      </c>
      <c r="B30">
        <v>1.1000000000000001</v>
      </c>
      <c r="C30" s="2">
        <f t="shared" si="1"/>
        <v>-10.780000000000001</v>
      </c>
      <c r="D30" s="2">
        <f t="shared" si="0"/>
        <v>4.0709999999999988</v>
      </c>
      <c r="E30" s="2">
        <f t="shared" si="2"/>
        <v>-10.784286946522931</v>
      </c>
      <c r="F30" s="2">
        <f t="shared" si="3"/>
        <v>4.6071402280284204</v>
      </c>
      <c r="G30" s="2">
        <f t="shared" si="5"/>
        <v>-5.2800903538132635</v>
      </c>
      <c r="H30" s="2">
        <f t="shared" si="4"/>
        <v>6.1732462589781285</v>
      </c>
    </row>
    <row r="31" spans="1:8" x14ac:dyDescent="0.25">
      <c r="A31">
        <v>12</v>
      </c>
      <c r="B31">
        <v>1.2</v>
      </c>
      <c r="C31" s="2">
        <f t="shared" si="1"/>
        <v>-11.76</v>
      </c>
      <c r="D31" s="2">
        <f t="shared" si="0"/>
        <v>2.944</v>
      </c>
      <c r="E31" s="2">
        <f t="shared" si="2"/>
        <v>-11.763046942363728</v>
      </c>
      <c r="F31" s="2">
        <f t="shared" si="3"/>
        <v>3.5287115333761272</v>
      </c>
      <c r="G31" s="2">
        <f t="shared" si="5"/>
        <v>-5.309899588085476</v>
      </c>
      <c r="H31" s="2">
        <f t="shared" si="4"/>
        <v>5.6452372235968022</v>
      </c>
    </row>
    <row r="32" spans="1:8" x14ac:dyDescent="0.25">
      <c r="A32">
        <v>13</v>
      </c>
      <c r="B32">
        <v>1.3</v>
      </c>
      <c r="C32" s="2">
        <f t="shared" si="1"/>
        <v>-12.740000000000002</v>
      </c>
      <c r="D32" s="2">
        <f t="shared" si="0"/>
        <v>1.7189999999999976</v>
      </c>
      <c r="E32" s="2">
        <f t="shared" si="2"/>
        <v>-12.741123258302443</v>
      </c>
      <c r="F32" s="2">
        <f t="shared" si="3"/>
        <v>2.3524068391397543</v>
      </c>
      <c r="G32" s="2">
        <f t="shared" si="5"/>
        <v>-5.3282565861319169</v>
      </c>
      <c r="H32" s="2">
        <f t="shared" si="4"/>
        <v>5.1142472647882542</v>
      </c>
    </row>
    <row r="33" spans="1:8" x14ac:dyDescent="0.25">
      <c r="A33">
        <v>14</v>
      </c>
      <c r="B33">
        <v>1.4</v>
      </c>
      <c r="C33" s="2">
        <f t="shared" si="1"/>
        <v>-13.72</v>
      </c>
      <c r="D33" s="2">
        <f t="shared" si="0"/>
        <v>0.3960000000000008</v>
      </c>
      <c r="E33" s="2">
        <f t="shared" si="2"/>
        <v>-13.718421426593245</v>
      </c>
      <c r="F33" s="2">
        <f t="shared" si="3"/>
        <v>1.0782945133095101</v>
      </c>
      <c r="G33" s="2">
        <f t="shared" si="5"/>
        <v>-5.3395271087307181</v>
      </c>
      <c r="H33" s="2">
        <f t="shared" si="4"/>
        <v>4.5814216061750628</v>
      </c>
    </row>
    <row r="34" spans="1:8" x14ac:dyDescent="0.25">
      <c r="A34">
        <v>15</v>
      </c>
      <c r="B34">
        <v>1.5</v>
      </c>
      <c r="C34" s="2">
        <f>-$I$5*B34</f>
        <v>-14.700000000000001</v>
      </c>
      <c r="D34" s="2">
        <f t="shared" si="0"/>
        <v>-1.0250000000000004</v>
      </c>
      <c r="E34" s="2">
        <f t="shared" si="2"/>
        <v>-14.694847267423784</v>
      </c>
      <c r="F34" s="2">
        <f t="shared" si="3"/>
        <v>-0.29354762934981449</v>
      </c>
      <c r="G34" s="2">
        <f t="shared" si="5"/>
        <v>-5.3464339526863576</v>
      </c>
      <c r="H34" s="2">
        <f t="shared" si="4"/>
        <v>4.0474688953019911</v>
      </c>
    </row>
    <row r="35" spans="1:8" x14ac:dyDescent="0.25">
      <c r="A35">
        <v>16</v>
      </c>
      <c r="B35">
        <v>1.6</v>
      </c>
      <c r="C35" s="2"/>
      <c r="D35" s="2"/>
      <c r="E35" s="2"/>
      <c r="F35" s="2"/>
      <c r="G35" s="2">
        <f t="shared" si="5"/>
        <v>-5.3506618019418699</v>
      </c>
      <c r="H35" s="2">
        <f t="shared" si="4"/>
        <v>3.5128255000333555</v>
      </c>
    </row>
    <row r="36" spans="1:8" x14ac:dyDescent="0.25">
      <c r="A36">
        <v>17</v>
      </c>
      <c r="B36">
        <v>1.7</v>
      </c>
      <c r="C36" s="2"/>
      <c r="D36" s="2"/>
      <c r="E36" s="2"/>
      <c r="F36" s="2"/>
      <c r="G36" s="2">
        <f t="shared" si="5"/>
        <v>-5.353247961967682</v>
      </c>
      <c r="H36" s="2">
        <f t="shared" si="4"/>
        <v>2.9777593198391683</v>
      </c>
    </row>
    <row r="37" spans="1:8" x14ac:dyDescent="0.25">
      <c r="A37">
        <v>18</v>
      </c>
      <c r="B37">
        <v>1.8</v>
      </c>
      <c r="C37" s="2"/>
      <c r="D37" s="2"/>
      <c r="E37" s="2"/>
      <c r="F37" s="2"/>
      <c r="G37" s="2">
        <f t="shared" si="5"/>
        <v>-5.3548292288837809</v>
      </c>
      <c r="H37" s="2">
        <f t="shared" si="4"/>
        <v>2.4424345236424001</v>
      </c>
    </row>
    <row r="38" spans="1:8" x14ac:dyDescent="0.25">
      <c r="A38">
        <v>19</v>
      </c>
      <c r="B38">
        <v>1.9</v>
      </c>
      <c r="C38" s="2"/>
      <c r="D38" s="2"/>
      <c r="E38" s="2"/>
      <c r="F38" s="2"/>
      <c r="G38" s="2">
        <f t="shared" si="5"/>
        <v>-5.3557958162416517</v>
      </c>
      <c r="H38" s="2">
        <f t="shared" si="4"/>
        <v>1.9069516007540219</v>
      </c>
    </row>
    <row r="39" spans="1:8" x14ac:dyDescent="0.25">
      <c r="A39">
        <v>20</v>
      </c>
      <c r="B39">
        <v>2</v>
      </c>
      <c r="C39" s="2"/>
      <c r="D39" s="2"/>
      <c r="E39" s="2"/>
      <c r="F39" s="2"/>
      <c r="G39" s="2">
        <f t="shared" si="5"/>
        <v>-5.3563865712451681</v>
      </c>
      <c r="H39" s="2">
        <f t="shared" si="4"/>
        <v>1.3713720191298568</v>
      </c>
    </row>
    <row r="40" spans="1:8" x14ac:dyDescent="0.25">
      <c r="A40">
        <v>21</v>
      </c>
      <c r="B40">
        <v>2.1</v>
      </c>
      <c r="C40" s="2"/>
      <c r="D40" s="2"/>
      <c r="E40" s="2"/>
      <c r="F40" s="2"/>
      <c r="G40" s="2">
        <f t="shared" si="5"/>
        <v>-5.3567475911454698</v>
      </c>
      <c r="H40" s="2">
        <f t="shared" si="4"/>
        <v>0.83573336200533999</v>
      </c>
    </row>
    <row r="41" spans="1:8" x14ac:dyDescent="0.25">
      <c r="A41">
        <v>22</v>
      </c>
      <c r="B41">
        <v>2.2000000000000002</v>
      </c>
      <c r="C41" s="2"/>
      <c r="D41" s="2"/>
      <c r="E41" s="2"/>
      <c r="F41" s="2"/>
      <c r="G41" s="2">
        <f t="shared" si="5"/>
        <v>-5.3569682030071801</v>
      </c>
      <c r="H41" s="2">
        <f t="shared" si="4"/>
        <v>0.300058602890793</v>
      </c>
    </row>
    <row r="42" spans="1:8" x14ac:dyDescent="0.25">
      <c r="A42">
        <v>23</v>
      </c>
      <c r="B42">
        <v>2.2999999999999998</v>
      </c>
      <c r="C42" s="2"/>
      <c r="D42" s="2"/>
      <c r="E42" s="2"/>
      <c r="F42" s="2"/>
      <c r="G42" s="2">
        <f t="shared" si="5"/>
        <v>-5.3571030094590846</v>
      </c>
      <c r="H42" s="2">
        <f t="shared" si="4"/>
        <v>-0.23563821740992508</v>
      </c>
    </row>
  </sheetData>
  <mergeCells count="20">
    <mergeCell ref="A15:C15"/>
    <mergeCell ref="C17:D17"/>
    <mergeCell ref="E17:F17"/>
    <mergeCell ref="G17:H17"/>
    <mergeCell ref="F6:H6"/>
    <mergeCell ref="C8:G8"/>
    <mergeCell ref="A10:E10"/>
    <mergeCell ref="A11:E11"/>
    <mergeCell ref="A12:E12"/>
    <mergeCell ref="A13:E13"/>
    <mergeCell ref="A6:C6"/>
    <mergeCell ref="C1:H1"/>
    <mergeCell ref="A2:C2"/>
    <mergeCell ref="A3:C3"/>
    <mergeCell ref="A4:C4"/>
    <mergeCell ref="A5:C5"/>
    <mergeCell ref="F2:H2"/>
    <mergeCell ref="F3:H3"/>
    <mergeCell ref="F4:H4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zoomScale="55" zoomScaleNormal="55" workbookViewId="0">
      <selection activeCell="S28" sqref="S28"/>
    </sheetView>
  </sheetViews>
  <sheetFormatPr defaultRowHeight="15" x14ac:dyDescent="0.25"/>
  <cols>
    <col min="1" max="1" width="8.140625" customWidth="1"/>
    <col min="2" max="2" width="9.85546875" customWidth="1"/>
  </cols>
  <sheetData>
    <row r="1" spans="1:10" x14ac:dyDescent="0.25">
      <c r="C1" s="6" t="s">
        <v>0</v>
      </c>
      <c r="D1" s="6"/>
      <c r="E1" s="6"/>
      <c r="F1" s="6"/>
      <c r="G1" s="6"/>
      <c r="H1" s="6"/>
    </row>
    <row r="2" spans="1:10" x14ac:dyDescent="0.25">
      <c r="A2" s="7" t="s">
        <v>36</v>
      </c>
      <c r="B2" s="7"/>
      <c r="C2" s="4" t="s">
        <v>37</v>
      </c>
      <c r="D2">
        <v>7800</v>
      </c>
      <c r="E2" s="8" t="s">
        <v>39</v>
      </c>
      <c r="F2" s="8"/>
      <c r="G2" s="4" t="s">
        <v>41</v>
      </c>
      <c r="H2" s="4">
        <v>0.1</v>
      </c>
      <c r="I2" t="s">
        <v>12</v>
      </c>
    </row>
    <row r="3" spans="1:10" x14ac:dyDescent="0.25">
      <c r="A3" s="7" t="s">
        <v>1</v>
      </c>
      <c r="B3" s="7"/>
      <c r="C3" s="4" t="s">
        <v>38</v>
      </c>
      <c r="D3">
        <v>1.29</v>
      </c>
      <c r="E3" s="8" t="s">
        <v>40</v>
      </c>
      <c r="F3" s="8"/>
      <c r="G3" s="4" t="s">
        <v>42</v>
      </c>
      <c r="H3" s="4">
        <v>9.8000000000000007</v>
      </c>
      <c r="I3" t="s">
        <v>43</v>
      </c>
    </row>
    <row r="4" spans="1:10" x14ac:dyDescent="0.25">
      <c r="A4" s="7" t="s">
        <v>3</v>
      </c>
      <c r="B4" s="7"/>
      <c r="C4" s="4" t="s">
        <v>38</v>
      </c>
      <c r="D4">
        <v>1.8200000000000001E-2</v>
      </c>
      <c r="F4" s="4"/>
      <c r="G4" s="4"/>
      <c r="H4" s="4"/>
    </row>
    <row r="5" spans="1:10" x14ac:dyDescent="0.25">
      <c r="A5" s="8"/>
      <c r="B5" s="8"/>
      <c r="C5" s="4"/>
      <c r="F5" s="7"/>
      <c r="G5" s="7"/>
      <c r="H5" s="7"/>
    </row>
    <row r="6" spans="1:10" x14ac:dyDescent="0.25">
      <c r="C6" s="4"/>
      <c r="D6" s="8" t="s">
        <v>44</v>
      </c>
      <c r="E6" s="8"/>
      <c r="F6" s="8"/>
      <c r="G6" s="8"/>
      <c r="H6" s="4"/>
    </row>
    <row r="7" spans="1:10" x14ac:dyDescent="0.25">
      <c r="A7" s="3" t="s">
        <v>33</v>
      </c>
      <c r="B7" s="3"/>
      <c r="C7" s="3"/>
      <c r="D7" s="3"/>
      <c r="E7" s="3"/>
      <c r="F7" t="s">
        <v>20</v>
      </c>
      <c r="G7">
        <v>32.672559999999997</v>
      </c>
      <c r="H7" t="s">
        <v>21</v>
      </c>
    </row>
    <row r="8" spans="1:10" x14ac:dyDescent="0.25">
      <c r="A8" s="3" t="s">
        <v>16</v>
      </c>
      <c r="B8" s="3"/>
      <c r="C8" s="3"/>
      <c r="D8" s="3"/>
      <c r="E8" s="3"/>
      <c r="F8" t="s">
        <v>22</v>
      </c>
      <c r="G8">
        <v>3.4306000000000003E-2</v>
      </c>
      <c r="H8" t="s">
        <v>35</v>
      </c>
    </row>
    <row r="9" spans="1:10" x14ac:dyDescent="0.25">
      <c r="A9" s="3" t="s">
        <v>17</v>
      </c>
      <c r="B9" s="3"/>
      <c r="C9" s="3"/>
      <c r="D9" s="3"/>
      <c r="E9" s="3"/>
      <c r="F9" t="s">
        <v>23</v>
      </c>
      <c r="G9">
        <v>8.1049999999999994E-3</v>
      </c>
      <c r="H9" t="s">
        <v>35</v>
      </c>
    </row>
    <row r="11" spans="1:10" x14ac:dyDescent="0.25">
      <c r="A11" s="8" t="s">
        <v>45</v>
      </c>
      <c r="B11" s="8"/>
      <c r="C11" s="8"/>
      <c r="D11">
        <v>1</v>
      </c>
      <c r="E11" t="s">
        <v>25</v>
      </c>
    </row>
    <row r="12" spans="1:10" ht="30" customHeight="1" x14ac:dyDescent="0.25">
      <c r="A12" s="9" t="s">
        <v>46</v>
      </c>
      <c r="B12" s="9"/>
      <c r="C12" t="s">
        <v>47</v>
      </c>
      <c r="D12">
        <v>200</v>
      </c>
      <c r="E12" t="s">
        <v>48</v>
      </c>
    </row>
    <row r="13" spans="1:10" x14ac:dyDescent="0.25">
      <c r="A13" s="9" t="s">
        <v>49</v>
      </c>
      <c r="B13" s="9"/>
      <c r="C13" t="s">
        <v>50</v>
      </c>
      <c r="D13">
        <v>30</v>
      </c>
      <c r="E13" t="s">
        <v>51</v>
      </c>
    </row>
    <row r="15" spans="1:10" x14ac:dyDescent="0.25">
      <c r="C15" s="1" t="s">
        <v>26</v>
      </c>
      <c r="D15" s="1"/>
      <c r="E15" s="1"/>
      <c r="F15" s="1"/>
      <c r="G15" s="1" t="s">
        <v>27</v>
      </c>
      <c r="H15" s="1"/>
    </row>
    <row r="16" spans="1:10" x14ac:dyDescent="0.25">
      <c r="A16" t="s">
        <v>29</v>
      </c>
      <c r="B16" t="s">
        <v>30</v>
      </c>
      <c r="C16" t="s">
        <v>52</v>
      </c>
      <c r="D16" t="s">
        <v>53</v>
      </c>
      <c r="E16" t="s">
        <v>54</v>
      </c>
      <c r="F16" t="s">
        <v>55</v>
      </c>
      <c r="G16" t="s">
        <v>52</v>
      </c>
      <c r="H16" t="s">
        <v>53</v>
      </c>
      <c r="I16" t="s">
        <v>54</v>
      </c>
      <c r="J16" t="s">
        <v>55</v>
      </c>
    </row>
    <row r="17" spans="1:10" x14ac:dyDescent="0.25">
      <c r="A17">
        <v>0</v>
      </c>
      <c r="B17">
        <v>0</v>
      </c>
      <c r="C17" s="5">
        <f>$D$12*COS($D$13*(PI()/180))</f>
        <v>173.20508075688775</v>
      </c>
      <c r="D17" s="5">
        <f>$D$12*SIN($D$13*(PI()/180)) - $H$3*B17</f>
        <v>99.999999999999986</v>
      </c>
      <c r="E17" s="5">
        <f>$D$12*COS($D$13*(PI()/180))*B17</f>
        <v>0</v>
      </c>
      <c r="F17" s="5">
        <f>$D$12*SIN($D$13*(PI()/180))*B17-($H$3*B17^2/2)</f>
        <v>0</v>
      </c>
      <c r="G17" s="5">
        <f>$D$12*COS($D$13*(PI()/180))</f>
        <v>173.20508075688775</v>
      </c>
      <c r="H17" s="5">
        <f>$D$12*SIN($D$13*(PI()/180))</f>
        <v>99.999999999999986</v>
      </c>
      <c r="I17" s="5">
        <v>0</v>
      </c>
      <c r="J17">
        <v>0</v>
      </c>
    </row>
    <row r="18" spans="1:10" x14ac:dyDescent="0.25">
      <c r="A18">
        <v>1</v>
      </c>
      <c r="B18">
        <v>1</v>
      </c>
      <c r="C18" s="5">
        <f t="shared" ref="C18:C38" si="0">$D$12*COS($D$13*(PI()/180))</f>
        <v>173.20508075688775</v>
      </c>
      <c r="D18" s="5">
        <f>$D$12*SIN($D$13*(PI()/180)) - $H$3*B18</f>
        <v>90.199999999999989</v>
      </c>
      <c r="E18" s="5">
        <f t="shared" ref="E18:E38" si="1">$D$12*COS($D$13*(PI()/180))*B18</f>
        <v>173.20508075688775</v>
      </c>
      <c r="F18" s="5">
        <f t="shared" ref="F18:F37" si="2">$D$12*SIN($D$13*(PI()/180))*B18-($H$3*B18^2/2)</f>
        <v>95.09999999999998</v>
      </c>
      <c r="G18" s="5">
        <f>G17-((($G$8+$G$9*SQRT(G17^2+H17^2))*G17)/$G$7)*$D$11</f>
        <v>164.42990643913117</v>
      </c>
      <c r="H18" s="5">
        <f>H17-((($G$8+$G$9*SQRT(G17^2+H17^2))*H17 + $G$7*$H$3)/$G$7)*$D$11</f>
        <v>85.133650745457345</v>
      </c>
      <c r="I18" s="5">
        <f>I17+G17*$D$11</f>
        <v>173.20508075688775</v>
      </c>
      <c r="J18">
        <f>J17+H17*$D$11</f>
        <v>99.999999999999986</v>
      </c>
    </row>
    <row r="19" spans="1:10" x14ac:dyDescent="0.25">
      <c r="A19">
        <v>2</v>
      </c>
      <c r="B19">
        <v>2</v>
      </c>
      <c r="C19" s="5">
        <f t="shared" si="0"/>
        <v>173.20508075688775</v>
      </c>
      <c r="D19" s="5">
        <f t="shared" ref="D19:D38" si="3">$D$12*SIN($D$13*(PI()/180)) - $H$3*B19</f>
        <v>80.399999999999977</v>
      </c>
      <c r="E19" s="5">
        <f t="shared" si="1"/>
        <v>346.41016151377551</v>
      </c>
      <c r="F19" s="5">
        <f t="shared" si="2"/>
        <v>180.39999999999998</v>
      </c>
      <c r="G19" s="5">
        <f t="shared" ref="G19:G38" si="4">G18-((($G$8+$G$9*SQRT(G18^2+H18^2))*G18)/$G$7)*$D$11</f>
        <v>156.70455458599332</v>
      </c>
      <c r="H19" s="5">
        <f t="shared" ref="H19:H38" si="5">H18-((($G$8+$G$9*SQRT(G18^2+H18^2))*H18 + $G$7*$H$3)/$G$7)*$D$11</f>
        <v>71.333846690382529</v>
      </c>
      <c r="I19" s="5">
        <f t="shared" ref="I19:I38" si="6">I18+G19*$D$11</f>
        <v>329.90963534288107</v>
      </c>
      <c r="J19">
        <f t="shared" ref="J19:J38" si="7">J18+H18*$D$11</f>
        <v>185.13365074545732</v>
      </c>
    </row>
    <row r="20" spans="1:10" x14ac:dyDescent="0.25">
      <c r="A20">
        <v>3</v>
      </c>
      <c r="B20">
        <v>3</v>
      </c>
      <c r="C20" s="5">
        <f t="shared" si="0"/>
        <v>173.20508075688775</v>
      </c>
      <c r="D20" s="5">
        <f t="shared" si="3"/>
        <v>70.59999999999998</v>
      </c>
      <c r="E20" s="5">
        <f t="shared" si="1"/>
        <v>519.6152422706632</v>
      </c>
      <c r="F20" s="5">
        <f t="shared" si="2"/>
        <v>255.89999999999995</v>
      </c>
      <c r="G20" s="5">
        <f t="shared" si="4"/>
        <v>149.84693604622242</v>
      </c>
      <c r="H20" s="5">
        <f t="shared" si="5"/>
        <v>58.412174120816601</v>
      </c>
      <c r="I20" s="5">
        <f t="shared" si="6"/>
        <v>479.7565713891035</v>
      </c>
      <c r="J20">
        <f t="shared" si="7"/>
        <v>256.46749743583985</v>
      </c>
    </row>
    <row r="21" spans="1:10" x14ac:dyDescent="0.25">
      <c r="A21">
        <v>4</v>
      </c>
      <c r="B21">
        <v>4</v>
      </c>
      <c r="C21" s="5">
        <f t="shared" si="0"/>
        <v>173.20508075688775</v>
      </c>
      <c r="D21" s="5">
        <f t="shared" si="3"/>
        <v>60.799999999999983</v>
      </c>
      <c r="E21" s="5">
        <f t="shared" si="1"/>
        <v>692.82032302755101</v>
      </c>
      <c r="F21" s="5">
        <f t="shared" si="2"/>
        <v>321.59999999999991</v>
      </c>
      <c r="G21" s="5">
        <f t="shared" si="4"/>
        <v>143.71122358277785</v>
      </c>
      <c r="H21" s="5">
        <f t="shared" si="5"/>
        <v>46.220398124412938</v>
      </c>
      <c r="I21" s="5">
        <f t="shared" si="6"/>
        <v>623.4677949718814</v>
      </c>
      <c r="J21">
        <f t="shared" si="7"/>
        <v>314.87967155665643</v>
      </c>
    </row>
    <row r="22" spans="1:10" x14ac:dyDescent="0.25">
      <c r="A22">
        <v>5</v>
      </c>
      <c r="B22">
        <v>5</v>
      </c>
      <c r="C22" s="5">
        <f t="shared" si="0"/>
        <v>173.20508075688775</v>
      </c>
      <c r="D22" s="5">
        <f t="shared" si="3"/>
        <v>50.999999999999986</v>
      </c>
      <c r="E22" s="5">
        <f t="shared" si="1"/>
        <v>866.02540378443882</v>
      </c>
      <c r="F22" s="5">
        <f t="shared" si="2"/>
        <v>377.49999999999994</v>
      </c>
      <c r="G22" s="5">
        <f t="shared" si="4"/>
        <v>138.17855342303213</v>
      </c>
      <c r="H22" s="5">
        <f t="shared" si="5"/>
        <v>34.640980963392039</v>
      </c>
      <c r="I22" s="5">
        <f t="shared" si="6"/>
        <v>761.6463483949135</v>
      </c>
      <c r="J22">
        <f t="shared" si="7"/>
        <v>361.10006968106939</v>
      </c>
    </row>
    <row r="23" spans="1:10" x14ac:dyDescent="0.25">
      <c r="A23">
        <v>6</v>
      </c>
      <c r="B23">
        <v>6</v>
      </c>
      <c r="C23" s="5">
        <f t="shared" si="0"/>
        <v>173.20508075688775</v>
      </c>
      <c r="D23" s="5">
        <f t="shared" si="3"/>
        <v>41.199999999999982</v>
      </c>
      <c r="E23" s="5">
        <f t="shared" si="1"/>
        <v>1039.2304845413264</v>
      </c>
      <c r="F23" s="5">
        <f t="shared" si="2"/>
        <v>423.59999999999991</v>
      </c>
      <c r="G23" s="5">
        <f t="shared" si="4"/>
        <v>133.1504642705271</v>
      </c>
      <c r="H23" s="5">
        <f t="shared" si="5"/>
        <v>23.580452927026499</v>
      </c>
      <c r="I23" s="5">
        <f t="shared" si="6"/>
        <v>894.7968126654406</v>
      </c>
      <c r="J23">
        <f t="shared" si="7"/>
        <v>395.74105064446144</v>
      </c>
    </row>
    <row r="24" spans="1:10" x14ac:dyDescent="0.25">
      <c r="A24">
        <v>7</v>
      </c>
      <c r="B24">
        <v>7</v>
      </c>
      <c r="C24" s="5">
        <f t="shared" si="0"/>
        <v>173.20508075688775</v>
      </c>
      <c r="D24" s="5">
        <f t="shared" si="3"/>
        <v>31.399999999999977</v>
      </c>
      <c r="E24" s="5">
        <f t="shared" si="1"/>
        <v>1212.4355652982142</v>
      </c>
      <c r="F24" s="5">
        <f t="shared" si="2"/>
        <v>459.89999999999986</v>
      </c>
      <c r="G24" s="5">
        <f t="shared" si="4"/>
        <v>128.54422204242965</v>
      </c>
      <c r="H24" s="5">
        <f t="shared" si="5"/>
        <v>12.964704528211669</v>
      </c>
      <c r="I24" s="5">
        <f t="shared" si="6"/>
        <v>1023.3410347078702</v>
      </c>
      <c r="J24">
        <f t="shared" si="7"/>
        <v>419.32150357148794</v>
      </c>
    </row>
    <row r="25" spans="1:10" x14ac:dyDescent="0.25">
      <c r="A25">
        <v>8</v>
      </c>
      <c r="B25">
        <v>8</v>
      </c>
      <c r="C25" s="5">
        <f t="shared" si="0"/>
        <v>173.20508075688775</v>
      </c>
      <c r="D25" s="5">
        <f t="shared" si="3"/>
        <v>21.59999999999998</v>
      </c>
      <c r="E25" s="5">
        <f t="shared" si="1"/>
        <v>1385.640646055102</v>
      </c>
      <c r="F25" s="5">
        <f t="shared" si="2"/>
        <v>486.39999999999986</v>
      </c>
      <c r="G25" s="5">
        <f t="shared" si="4"/>
        <v>124.28948384049322</v>
      </c>
      <c r="H25" s="5">
        <f t="shared" si="5"/>
        <v>2.7355804279094951</v>
      </c>
      <c r="I25" s="5">
        <f t="shared" si="6"/>
        <v>1147.6305185483634</v>
      </c>
      <c r="J25">
        <f t="shared" si="7"/>
        <v>432.28620809969959</v>
      </c>
    </row>
    <row r="26" spans="1:10" x14ac:dyDescent="0.25">
      <c r="A26">
        <v>9</v>
      </c>
      <c r="B26">
        <v>9</v>
      </c>
      <c r="C26" s="5">
        <f t="shared" si="0"/>
        <v>173.20508075688775</v>
      </c>
      <c r="D26" s="5">
        <f t="shared" si="3"/>
        <v>11.799999999999983</v>
      </c>
      <c r="E26" s="5">
        <f t="shared" si="1"/>
        <v>1558.8457268119898</v>
      </c>
      <c r="F26" s="5">
        <f t="shared" si="2"/>
        <v>503.09999999999985</v>
      </c>
      <c r="G26" s="5">
        <f t="shared" si="4"/>
        <v>120.32593671882968</v>
      </c>
      <c r="H26" s="5">
        <f t="shared" si="5"/>
        <v>-7.151656252106287</v>
      </c>
      <c r="I26" s="5">
        <f t="shared" si="6"/>
        <v>1267.9564552671932</v>
      </c>
      <c r="J26">
        <f t="shared" si="7"/>
        <v>435.02178852760909</v>
      </c>
    </row>
    <row r="27" spans="1:10" x14ac:dyDescent="0.25">
      <c r="A27">
        <v>10</v>
      </c>
      <c r="B27">
        <v>10</v>
      </c>
      <c r="C27" s="5">
        <f t="shared" si="0"/>
        <v>173.20508075688775</v>
      </c>
      <c r="D27" s="5">
        <f t="shared" si="3"/>
        <v>1.9999999999999858</v>
      </c>
      <c r="E27" s="5">
        <f t="shared" si="1"/>
        <v>1732.0508075688776</v>
      </c>
      <c r="F27" s="5">
        <f t="shared" si="2"/>
        <v>509.99999999999983</v>
      </c>
      <c r="G27" s="5">
        <f t="shared" si="4"/>
        <v>116.60165365320456</v>
      </c>
      <c r="H27" s="5">
        <f t="shared" si="5"/>
        <v>-16.730300881874435</v>
      </c>
      <c r="I27" s="5">
        <f t="shared" si="6"/>
        <v>1384.5581089203977</v>
      </c>
      <c r="J27">
        <f t="shared" si="7"/>
        <v>427.87013227550278</v>
      </c>
    </row>
    <row r="28" spans="1:10" x14ac:dyDescent="0.25">
      <c r="A28">
        <v>11</v>
      </c>
      <c r="B28">
        <v>11</v>
      </c>
      <c r="C28" s="5">
        <f t="shared" si="0"/>
        <v>173.20508075688775</v>
      </c>
      <c r="D28" s="5">
        <f t="shared" si="3"/>
        <v>-7.8000000000000256</v>
      </c>
      <c r="E28" s="5">
        <f t="shared" si="1"/>
        <v>1905.2558883257652</v>
      </c>
      <c r="F28" s="5">
        <f t="shared" si="2"/>
        <v>507.09999999999968</v>
      </c>
      <c r="G28" s="5">
        <f t="shared" si="4"/>
        <v>113.07196991409783</v>
      </c>
      <c r="H28" s="5">
        <f t="shared" si="5"/>
        <v>-26.02385291031522</v>
      </c>
      <c r="I28" s="5">
        <f t="shared" si="6"/>
        <v>1497.6300788344954</v>
      </c>
      <c r="J28">
        <f t="shared" si="7"/>
        <v>411.13983139362836</v>
      </c>
    </row>
    <row r="29" spans="1:10" x14ac:dyDescent="0.25">
      <c r="A29">
        <v>12</v>
      </c>
      <c r="B29">
        <v>12</v>
      </c>
      <c r="C29" s="5">
        <f t="shared" si="0"/>
        <v>173.20508075688775</v>
      </c>
      <c r="D29" s="5">
        <f t="shared" si="3"/>
        <v>-17.600000000000023</v>
      </c>
      <c r="E29" s="5">
        <f t="shared" si="1"/>
        <v>2078.4609690826528</v>
      </c>
      <c r="F29" s="5">
        <f t="shared" si="2"/>
        <v>494.39999999999975</v>
      </c>
      <c r="G29" s="5">
        <f t="shared" si="4"/>
        <v>109.69871818371267</v>
      </c>
      <c r="H29" s="5">
        <f t="shared" si="5"/>
        <v>-35.04748891022129</v>
      </c>
      <c r="I29" s="5">
        <f t="shared" si="6"/>
        <v>1607.328797018208</v>
      </c>
      <c r="J29">
        <f t="shared" si="7"/>
        <v>385.11597848331314</v>
      </c>
    </row>
    <row r="30" spans="1:10" x14ac:dyDescent="0.25">
      <c r="A30">
        <v>13</v>
      </c>
      <c r="B30">
        <v>13</v>
      </c>
      <c r="C30" s="5">
        <f t="shared" si="0"/>
        <v>173.20508075688775</v>
      </c>
      <c r="D30" s="5">
        <f t="shared" si="3"/>
        <v>-27.40000000000002</v>
      </c>
      <c r="E30" s="5">
        <f t="shared" si="1"/>
        <v>2251.6660498395408</v>
      </c>
      <c r="F30" s="5">
        <f t="shared" si="2"/>
        <v>471.89999999999975</v>
      </c>
      <c r="G30" s="5">
        <f t="shared" si="4"/>
        <v>106.4496856740128</v>
      </c>
      <c r="H30" s="5">
        <f t="shared" si="5"/>
        <v>-43.809460091489285</v>
      </c>
      <c r="I30" s="5">
        <f t="shared" si="6"/>
        <v>1713.7784826922207</v>
      </c>
      <c r="J30">
        <f t="shared" si="7"/>
        <v>350.06848957309182</v>
      </c>
    </row>
    <row r="31" spans="1:10" x14ac:dyDescent="0.25">
      <c r="A31">
        <v>14</v>
      </c>
      <c r="B31">
        <v>14</v>
      </c>
      <c r="C31" s="5">
        <f t="shared" si="0"/>
        <v>173.20508075688775</v>
      </c>
      <c r="D31" s="5">
        <f t="shared" si="3"/>
        <v>-37.200000000000031</v>
      </c>
      <c r="E31" s="5">
        <f t="shared" si="1"/>
        <v>2424.8711305964284</v>
      </c>
      <c r="F31" s="5">
        <f t="shared" si="2"/>
        <v>439.59999999999968</v>
      </c>
      <c r="G31" s="5">
        <f t="shared" si="4"/>
        <v>103.29818166756844</v>
      </c>
      <c r="H31" s="5">
        <f t="shared" si="5"/>
        <v>-52.312455895335063</v>
      </c>
      <c r="I31" s="5">
        <f t="shared" si="6"/>
        <v>1817.0766643597892</v>
      </c>
      <c r="J31">
        <f t="shared" si="7"/>
        <v>306.25902948160251</v>
      </c>
    </row>
    <row r="32" spans="1:10" x14ac:dyDescent="0.25">
      <c r="A32">
        <v>15</v>
      </c>
      <c r="B32">
        <v>15</v>
      </c>
      <c r="C32" s="5">
        <f t="shared" si="0"/>
        <v>173.20508075688775</v>
      </c>
      <c r="D32" s="5">
        <f t="shared" si="3"/>
        <v>-47.000000000000014</v>
      </c>
      <c r="E32" s="5">
        <f t="shared" si="1"/>
        <v>2598.0762113533165</v>
      </c>
      <c r="F32" s="5">
        <f t="shared" si="2"/>
        <v>397.49999999999977</v>
      </c>
      <c r="G32" s="5">
        <f t="shared" si="4"/>
        <v>100.22263357246099</v>
      </c>
      <c r="H32" s="5">
        <f t="shared" si="5"/>
        <v>-60.554931150155511</v>
      </c>
      <c r="I32" s="5">
        <f t="shared" si="6"/>
        <v>1917.2992979322503</v>
      </c>
      <c r="J32">
        <f t="shared" si="7"/>
        <v>253.94657358626745</v>
      </c>
    </row>
    <row r="33" spans="1:10" x14ac:dyDescent="0.25">
      <c r="A33">
        <v>16</v>
      </c>
      <c r="B33">
        <v>16</v>
      </c>
      <c r="C33" s="5">
        <f t="shared" si="0"/>
        <v>173.20508075688775</v>
      </c>
      <c r="D33" s="5">
        <f t="shared" si="3"/>
        <v>-56.800000000000026</v>
      </c>
      <c r="E33" s="5">
        <f t="shared" si="1"/>
        <v>2771.281292110204</v>
      </c>
      <c r="F33" s="5">
        <f t="shared" si="2"/>
        <v>345.59999999999968</v>
      </c>
      <c r="G33" s="5">
        <f t="shared" si="4"/>
        <v>97.2061619977638</v>
      </c>
      <c r="H33" s="5">
        <f t="shared" si="5"/>
        <v>-68.532366505711948</v>
      </c>
      <c r="I33" s="5">
        <f t="shared" si="6"/>
        <v>2014.505459930014</v>
      </c>
      <c r="J33">
        <f t="shared" si="7"/>
        <v>193.39164243611194</v>
      </c>
    </row>
    <row r="34" spans="1:10" x14ac:dyDescent="0.25">
      <c r="A34">
        <v>17</v>
      </c>
      <c r="B34">
        <v>17</v>
      </c>
      <c r="C34" s="5">
        <f t="shared" si="0"/>
        <v>173.20508075688775</v>
      </c>
      <c r="D34" s="5">
        <f t="shared" si="3"/>
        <v>-66.600000000000037</v>
      </c>
      <c r="E34" s="5">
        <f t="shared" si="1"/>
        <v>2944.4863728670916</v>
      </c>
      <c r="F34" s="5">
        <f t="shared" si="2"/>
        <v>283.89999999999964</v>
      </c>
      <c r="G34" s="5">
        <f t="shared" si="4"/>
        <v>94.236115357866751</v>
      </c>
      <c r="H34" s="5">
        <f t="shared" si="5"/>
        <v>-76.238421835114153</v>
      </c>
      <c r="I34" s="5">
        <f t="shared" si="6"/>
        <v>2108.7415752878806</v>
      </c>
      <c r="J34">
        <f t="shared" si="7"/>
        <v>124.85927593039999</v>
      </c>
    </row>
    <row r="35" spans="1:10" x14ac:dyDescent="0.25">
      <c r="A35">
        <v>18</v>
      </c>
      <c r="B35">
        <v>18</v>
      </c>
      <c r="C35" s="5">
        <f t="shared" si="0"/>
        <v>173.20508075688775</v>
      </c>
      <c r="D35" s="5">
        <f t="shared" si="3"/>
        <v>-76.40000000000002</v>
      </c>
      <c r="E35" s="5">
        <f t="shared" si="1"/>
        <v>3117.6914536239797</v>
      </c>
      <c r="F35" s="5">
        <f t="shared" si="2"/>
        <v>212.39999999999964</v>
      </c>
      <c r="G35" s="5">
        <f t="shared" si="4"/>
        <v>91.303567205632291</v>
      </c>
      <c r="H35" s="5">
        <f t="shared" si="5"/>
        <v>-83.665946672775334</v>
      </c>
      <c r="I35" s="5">
        <f t="shared" si="6"/>
        <v>2200.0451424935127</v>
      </c>
      <c r="J35">
        <f t="shared" si="7"/>
        <v>48.620854095285836</v>
      </c>
    </row>
    <row r="36" spans="1:10" x14ac:dyDescent="0.25">
      <c r="A36">
        <v>19</v>
      </c>
      <c r="B36">
        <v>19</v>
      </c>
      <c r="C36" s="5">
        <f t="shared" si="0"/>
        <v>173.20508075688775</v>
      </c>
      <c r="D36" s="5">
        <f t="shared" si="3"/>
        <v>-86.200000000000031</v>
      </c>
      <c r="E36" s="5">
        <f t="shared" si="1"/>
        <v>3290.8965343808673</v>
      </c>
      <c r="F36" s="5">
        <f t="shared" si="2"/>
        <v>131.09999999999968</v>
      </c>
      <c r="G36" s="5">
        <f t="shared" si="4"/>
        <v>88.402792725737086</v>
      </c>
      <c r="H36" s="5">
        <f t="shared" si="5"/>
        <v>-90.807824428788265</v>
      </c>
      <c r="I36" s="5">
        <f t="shared" si="6"/>
        <v>2288.4479352192498</v>
      </c>
      <c r="J36">
        <f t="shared" si="7"/>
        <v>-35.045092577489498</v>
      </c>
    </row>
    <row r="37" spans="1:10" x14ac:dyDescent="0.25">
      <c r="A37">
        <v>20</v>
      </c>
      <c r="B37">
        <v>20</v>
      </c>
      <c r="C37" s="5">
        <f t="shared" si="0"/>
        <v>173.20508075688775</v>
      </c>
      <c r="D37" s="5">
        <f t="shared" si="3"/>
        <v>-96.000000000000014</v>
      </c>
      <c r="E37" s="5">
        <f t="shared" si="1"/>
        <v>3464.1016151377553</v>
      </c>
      <c r="F37" s="5">
        <f t="shared" si="2"/>
        <v>39.999999999999545</v>
      </c>
      <c r="G37" s="5">
        <f t="shared" si="4"/>
        <v>85.530745464585181</v>
      </c>
      <c r="H37" s="5">
        <f t="shared" si="5"/>
        <v>-97.657642026169043</v>
      </c>
      <c r="I37" s="5">
        <f t="shared" si="6"/>
        <v>2373.9786806838351</v>
      </c>
      <c r="J37">
        <f t="shared" si="7"/>
        <v>-125.85291700627776</v>
      </c>
    </row>
    <row r="38" spans="1:10" x14ac:dyDescent="0.25">
      <c r="A38">
        <v>21</v>
      </c>
      <c r="B38">
        <v>21</v>
      </c>
      <c r="C38" s="5">
        <f t="shared" si="0"/>
        <v>173.20508075688775</v>
      </c>
      <c r="D38" s="5">
        <f t="shared" si="3"/>
        <v>-105.80000000000003</v>
      </c>
      <c r="E38" s="5">
        <f t="shared" si="1"/>
        <v>3637.3066958946429</v>
      </c>
      <c r="F38" s="5">
        <f>$D$12*SIN($D$13*(PI()/180))*B38-($H$3*B38^2/2)</f>
        <v>-60.900000000000546</v>
      </c>
      <c r="G38" s="5">
        <f t="shared" si="4"/>
        <v>82.686554067674294</v>
      </c>
      <c r="H38" s="5">
        <f t="shared" si="5"/>
        <v>-104.21018961844462</v>
      </c>
      <c r="I38" s="5">
        <f t="shared" si="6"/>
        <v>2456.6652347515096</v>
      </c>
      <c r="J38">
        <f t="shared" si="7"/>
        <v>-223.51055903244679</v>
      </c>
    </row>
    <row r="39" spans="1:10" x14ac:dyDescent="0.25">
      <c r="C39" s="2"/>
      <c r="D39" s="2"/>
      <c r="E39" s="2"/>
      <c r="F39" s="2"/>
      <c r="G39" s="2"/>
      <c r="H39" s="2"/>
    </row>
    <row r="40" spans="1:10" x14ac:dyDescent="0.25">
      <c r="C40" s="2"/>
      <c r="D40" s="2"/>
      <c r="E40" s="2"/>
      <c r="F40" s="2"/>
      <c r="G40" s="2"/>
      <c r="H40" s="2"/>
    </row>
  </sheetData>
  <mergeCells count="12">
    <mergeCell ref="C1:H1"/>
    <mergeCell ref="A11:C11"/>
    <mergeCell ref="A12:B12"/>
    <mergeCell ref="A13:B13"/>
    <mergeCell ref="F5:H5"/>
    <mergeCell ref="D6:G6"/>
    <mergeCell ref="A2:B2"/>
    <mergeCell ref="A3:B3"/>
    <mergeCell ref="A4:B4"/>
    <mergeCell ref="A5:B5"/>
    <mergeCell ref="E2:F2"/>
    <mergeCell ref="E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ЭКЗАМЕН</dc:creator>
  <cp:lastModifiedBy>Пользователь Windows</cp:lastModifiedBy>
  <dcterms:created xsi:type="dcterms:W3CDTF">2002-01-05T12:43:19Z</dcterms:created>
  <dcterms:modified xsi:type="dcterms:W3CDTF">2022-02-14T15:46:14Z</dcterms:modified>
</cp:coreProperties>
</file>